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ang\OneDrive\Desktop\IDS\28-MyAD\A1\"/>
    </mc:Choice>
  </mc:AlternateContent>
  <bookViews>
    <workbookView xWindow="0" yWindow="0" windowWidth="23040" windowHeight="10512"/>
  </bookViews>
  <sheets>
    <sheet name="empleados" sheetId="2" r:id="rId1"/>
    <sheet name="datos personales" sheetId="3" r:id="rId2"/>
    <sheet name="sucursales" sheetId="4" r:id="rId3"/>
  </sheets>
  <definedNames>
    <definedName name="datosempleado" localSheetId="0" hidden="1">empleados!$A$1:$F$11</definedName>
    <definedName name="datospersonales" localSheetId="1" hidden="1">'datos personales'!$A$1:$G$11</definedName>
    <definedName name="Sucursal" localSheetId="2" hidden="1">sucursales!$A$1:$E$11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atosempleado_8c8a4af2-7dd2-481d-aa2b-93348abd0fd0" name="datosempleado" connection="Rog_Alan_SQLEXPRESS datosgenerales Varias tablas"/>
          <x15:modelTable id="datospersonales_72c490e9-294e-4ace-b0df-c9512d3638c9" name="datospersonales" connection="Rog_Alan_SQLEXPRESS datosgenerales Varias tablas"/>
          <x15:modelTable id="Sucursal_039f1406-aec1-4db4-8889-c573ef0cdf61" name="Sucursal" connection="Rog_Alan_SQLEXPRESS datosgenerales Varias tablas"/>
        </x15:modelTables>
        <x15:modelRelationships>
          <x15:modelRelationship fromTable="datosempleado" fromColumn="FK_datospersonales" toTable="datospersonales" toColumn="ID"/>
          <x15:modelRelationship fromTable="datosempleado" fromColumn="FK_Sucursal" toTable="Sucursal" toColumn="ID"/>
        </x15:modelRelationships>
      </x15:dataModel>
    </ext>
  </extLst>
</workbook>
</file>

<file path=xl/calcChain.xml><?xml version="1.0" encoding="utf-8"?>
<calcChain xmlns="http://schemas.openxmlformats.org/spreadsheetml/2006/main">
  <c r="I2" i="3" l="1"/>
  <c r="I3" i="3"/>
</calcChain>
</file>

<file path=xl/connections.xml><?xml version="1.0" encoding="utf-8"?>
<connections xmlns="http://schemas.openxmlformats.org/spreadsheetml/2006/main">
  <connection id="1" keepAlive="1" name="ModelConnection_datosempleado" description="Modelo de datos" type="5" refreshedVersion="6" minRefreshableVersion="5" saveData="1">
    <dbPr connection="Data Model Connection" command="datosempleado" commandType="3"/>
    <extLst>
      <ext xmlns:x15="http://schemas.microsoft.com/office/spreadsheetml/2010/11/main" uri="{DE250136-89BD-433C-8126-D09CA5730AF9}">
        <x15:connection id="" model="1"/>
      </ext>
    </extLst>
  </connection>
  <connection id="2" keepAlive="1" name="ModelConnection_datospersonales" description="Modelo de datos" type="5" refreshedVersion="6" minRefreshableVersion="5" saveData="1">
    <dbPr connection="Data Model Connection" command="datospersonales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ModelConnection_Sucursal" description="Modelo de datos" type="5" refreshedVersion="6" minRefreshableVersion="5" saveData="1">
    <dbPr connection="Data Model Connection" command="Sucursal" commandType="3"/>
    <extLst>
      <ext xmlns:x15="http://schemas.microsoft.com/office/spreadsheetml/2010/11/main" uri="{DE250136-89BD-433C-8126-D09CA5730AF9}">
        <x15:connection id="" model="1"/>
      </ext>
    </extLst>
  </connection>
  <connection id="4" odcFile="C:\Users\alang\OneDrive\Documents\Mis archivos de origen de datos\Rog_Alan_SQLEXPRESS datosgenerales Varias tablas.odc" name="Rog_Alan_SQLEXPRESS datosgenerales Varias tablas" type="100" refreshedVersion="6" minRefreshableVersion="5">
    <extLst>
      <ext xmlns:x15="http://schemas.microsoft.com/office/spreadsheetml/2010/11/main" uri="{DE250136-89BD-433C-8126-D09CA5730AF9}">
        <x15:connection id="eb8bdfcd-e1f6-4b3a-9328-8ca17cfddc88" autoDelete="1"/>
      </ext>
    </extLst>
  </connection>
  <connection id="5" keepAlive="1" name="ThisWorkbookDataModel" description="Modelo de dat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<sst xmlns="http://schemas.openxmlformats.org/spreadsheetml/2006/main" count="132" uniqueCount="93">
  <si>
    <t>Codigo</t>
  </si>
  <si>
    <t>FK_datospersonales</t>
  </si>
  <si>
    <t>FK_Sucursal</t>
  </si>
  <si>
    <t>Cargo</t>
  </si>
  <si>
    <t>Horario</t>
  </si>
  <si>
    <t>Salario</t>
  </si>
  <si>
    <t>Gerente General</t>
  </si>
  <si>
    <t>Tiempo Completo</t>
  </si>
  <si>
    <t>Ejecutiva de Ventas</t>
  </si>
  <si>
    <t>Técnico de Soporte</t>
  </si>
  <si>
    <t>Turno Matutino</t>
  </si>
  <si>
    <t>Asesora Comercial</t>
  </si>
  <si>
    <t>Turno Vespertino</t>
  </si>
  <si>
    <t>Director Regional</t>
  </si>
  <si>
    <t>Gerente de Sucursal</t>
  </si>
  <si>
    <t>Cajera Encargada</t>
  </si>
  <si>
    <t>Vendedor Senior</t>
  </si>
  <si>
    <t>Atención a Clientes</t>
  </si>
  <si>
    <t>Técnico Ensamblador</t>
  </si>
  <si>
    <t>ID</t>
  </si>
  <si>
    <t>Nombre</t>
  </si>
  <si>
    <t>Direccion</t>
  </si>
  <si>
    <t>Ciudad</t>
  </si>
  <si>
    <t>Num_Telefono</t>
  </si>
  <si>
    <t>Email</t>
  </si>
  <si>
    <t>Genero</t>
  </si>
  <si>
    <t>Carlos Mendoza</t>
  </si>
  <si>
    <t>Calle Fresno 12</t>
  </si>
  <si>
    <t>CDMX</t>
  </si>
  <si>
    <t>5511223344</t>
  </si>
  <si>
    <t>carlosm@gmail.com</t>
  </si>
  <si>
    <t>Masculino</t>
  </si>
  <si>
    <t>Valeria Torres</t>
  </si>
  <si>
    <t>Av. Sol 45</t>
  </si>
  <si>
    <t>5522334455</t>
  </si>
  <si>
    <t>valeriat@gmail.com</t>
  </si>
  <si>
    <t>Femenino</t>
  </si>
  <si>
    <t>Jorge Morales</t>
  </si>
  <si>
    <t>Colinas 88</t>
  </si>
  <si>
    <t>Guadalajara</t>
  </si>
  <si>
    <t>3311445566</t>
  </si>
  <si>
    <t>jorgem@gmail.com</t>
  </si>
  <si>
    <t>Daniela Castro</t>
  </si>
  <si>
    <t>Av. Luna 78</t>
  </si>
  <si>
    <t>Zapopan</t>
  </si>
  <si>
    <t>3399887766</t>
  </si>
  <si>
    <t>danielac@gmail.com</t>
  </si>
  <si>
    <t>Luis Fernando Ruiz</t>
  </si>
  <si>
    <t>Paseo Real 9</t>
  </si>
  <si>
    <t>Monterrey</t>
  </si>
  <si>
    <t>8111223344</t>
  </si>
  <si>
    <t>luisr@gmail.com</t>
  </si>
  <si>
    <t>Mariana Garza</t>
  </si>
  <si>
    <t>Av. Sierra 456</t>
  </si>
  <si>
    <t>San Pedro</t>
  </si>
  <si>
    <t>8188776655</t>
  </si>
  <si>
    <t>marianag@gmail.com</t>
  </si>
  <si>
    <t>Sofía Herrera</t>
  </si>
  <si>
    <t>Av. Reforma 23</t>
  </si>
  <si>
    <t>Puebla</t>
  </si>
  <si>
    <t>2221345678</t>
  </si>
  <si>
    <t>sofiah@gmail.com</t>
  </si>
  <si>
    <t>Andrés Navarro</t>
  </si>
  <si>
    <t>Calle Pirules 4</t>
  </si>
  <si>
    <t>Querétaro</t>
  </si>
  <si>
    <t>4421987654</t>
  </si>
  <si>
    <t>andresn@gmail.com</t>
  </si>
  <si>
    <t>Beatriz Reyes</t>
  </si>
  <si>
    <t>Av. Central 67</t>
  </si>
  <si>
    <t>Toluca</t>
  </si>
  <si>
    <t>7223456789</t>
  </si>
  <si>
    <t>beatrizr@gmail.com</t>
  </si>
  <si>
    <t>Gabriel Soto</t>
  </si>
  <si>
    <t>Hidalgo 102</t>
  </si>
  <si>
    <t>León</t>
  </si>
  <si>
    <t>4771234567</t>
  </si>
  <si>
    <t>gabriels@gmail.com</t>
  </si>
  <si>
    <t>Nombre_sucursal</t>
  </si>
  <si>
    <t>Cantidad_ventas_anuales</t>
  </si>
  <si>
    <t>CDMX Norte</t>
  </si>
  <si>
    <t>Av. Insurgentes 101</t>
  </si>
  <si>
    <t>CDMX Sur</t>
  </si>
  <si>
    <t>Calz. de Tlalpan 102</t>
  </si>
  <si>
    <t>Av. Vallarta 103</t>
  </si>
  <si>
    <t>Av. Patria 231</t>
  </si>
  <si>
    <t>Av. Constitución 232</t>
  </si>
  <si>
    <t>Calz. del Valle 233</t>
  </si>
  <si>
    <t>Blvd. 5 de Mayo 6</t>
  </si>
  <si>
    <t>Av. 5 de Febrero 86</t>
  </si>
  <si>
    <t>Paseo Tollocan 87</t>
  </si>
  <si>
    <t>Blvd. López Mateos 88</t>
  </si>
  <si>
    <t>GeneroOp</t>
  </si>
  <si>
    <t>TotalGen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</si>
</sst>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Salarios generales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empleados!$F$1</c:f>
              <c:strCache>
                <c:ptCount val="1"/>
                <c:pt idx="0">
                  <c:v>Salario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empleados!$F$2:$F$11</c:f>
              <c:numCache>
                <c:formatCode>General</c:formatCode>
                <c:ptCount val="10"/>
                <c:pt idx="0">
                  <c:v>45000</c:v>
                </c:pt>
                <c:pt idx="1">
                  <c:v>22000</c:v>
                </c:pt>
                <c:pt idx="2">
                  <c:v>16500</c:v>
                </c:pt>
                <c:pt idx="3">
                  <c:v>18000</c:v>
                </c:pt>
                <c:pt idx="4">
                  <c:v>55000</c:v>
                </c:pt>
                <c:pt idx="5">
                  <c:v>42000</c:v>
                </c:pt>
                <c:pt idx="6">
                  <c:v>14000</c:v>
                </c:pt>
                <c:pt idx="7">
                  <c:v>26000</c:v>
                </c:pt>
                <c:pt idx="8">
                  <c:v>13500</c:v>
                </c:pt>
                <c:pt idx="9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F9-4959-B220-0D35A3FF19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5817264"/>
        <c:axId val="895812688"/>
      </c:barChart>
      <c:catAx>
        <c:axId val="895817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5812688"/>
        <c:crosses val="autoZero"/>
        <c:auto val="1"/>
        <c:lblAlgn val="ctr"/>
        <c:lblOffset val="100"/>
        <c:noMultiLvlLbl val="0"/>
      </c:catAx>
      <c:valAx>
        <c:axId val="89581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581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'datos personales'!$I$1</c:f>
              <c:strCache>
                <c:ptCount val="1"/>
                <c:pt idx="0">
                  <c:v>TotalGen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personales'!$H$2:$H$3</c:f>
              <c:strCache>
                <c:ptCount val="2"/>
                <c:pt idx="0">
                  <c:v>Masculino</c:v>
                </c:pt>
                <c:pt idx="1">
                  <c:v>Femenino</c:v>
                </c:pt>
              </c:strCache>
            </c:strRef>
          </c:cat>
          <c:val>
            <c:numRef>
              <c:f>'datos personales'!$I$2:$I$3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80-4F36-988E-0D41F26755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5804368"/>
        <c:axId val="895815184"/>
      </c:barChart>
      <c:catAx>
        <c:axId val="89580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5815184"/>
        <c:crosses val="autoZero"/>
        <c:auto val="1"/>
        <c:lblAlgn val="ctr"/>
        <c:lblOffset val="100"/>
        <c:noMultiLvlLbl val="0"/>
      </c:catAx>
      <c:valAx>
        <c:axId val="89581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5804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Ventas sucursales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sucursales!$E$1</c:f>
              <c:strCache>
                <c:ptCount val="1"/>
                <c:pt idx="0">
                  <c:v>Cantidad_ventas_anuales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sucursales!$E$2:$E$11</c:f>
              <c:numCache>
                <c:formatCode>General</c:formatCode>
                <c:ptCount val="10"/>
                <c:pt idx="0">
                  <c:v>1250000</c:v>
                </c:pt>
                <c:pt idx="1">
                  <c:v>980000</c:v>
                </c:pt>
                <c:pt idx="2">
                  <c:v>1450000</c:v>
                </c:pt>
                <c:pt idx="3">
                  <c:v>870000</c:v>
                </c:pt>
                <c:pt idx="4">
                  <c:v>1600000</c:v>
                </c:pt>
                <c:pt idx="5">
                  <c:v>1900000</c:v>
                </c:pt>
                <c:pt idx="6">
                  <c:v>650000</c:v>
                </c:pt>
                <c:pt idx="7">
                  <c:v>1100000</c:v>
                </c:pt>
                <c:pt idx="8">
                  <c:v>540000</c:v>
                </c:pt>
                <c:pt idx="9">
                  <c:v>780000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3B-4805-ACDF-303DD4B740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5814768"/>
        <c:axId val="895811856"/>
      </c:barChart>
      <c:catAx>
        <c:axId val="895814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5811856"/>
        <c:crosses val="autoZero"/>
        <c:auto val="1"/>
        <c:lblAlgn val="ctr"/>
        <c:lblOffset val="100"/>
        <c:noMultiLvlLbl val="0"/>
      </c:catAx>
      <c:valAx>
        <c:axId val="89581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9581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213360</xdr:colOff>
      <xdr:row>11</xdr:row>
      <xdr:rowOff>163830</xdr:rowOff>
    </xdr:from>
    <xdr:to>
      <xdr:col>5</xdr:col>
      <xdr:colOff>175260</xdr:colOff>
      <xdr:row>26</xdr:row>
      <xdr:rowOff>163830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11</xdr:row>
      <xdr:rowOff>34290</xdr:rowOff>
    </xdr:from>
    <xdr:to>
      <xdr:col>8</xdr:col>
      <xdr:colOff>769620</xdr:colOff>
      <xdr:row>26</xdr:row>
      <xdr:rowOff>34290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11</xdr:row>
      <xdr:rowOff>102870</xdr:rowOff>
    </xdr:from>
    <xdr:to>
      <xdr:col>4</xdr:col>
      <xdr:colOff>1386840</xdr:colOff>
      <xdr:row>26</xdr:row>
      <xdr:rowOff>102870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datosempleado" backgroundRefresh="0" connectionId="1" autoFormatId="16" applyNumberFormats="0" applyBorderFormats="0" applyFontFormats="0" applyPatternFormats="0" applyAlignmentFormats="0" applyWidthHeightFormats="0">
  <queryTableRefresh nextId="7">
    <queryTableFields count="6">
      <queryTableField id="1" name="Codigo" tableColumnId="1"/>
      <queryTableField id="2" name="FK_datospersonales" tableColumnId="2"/>
      <queryTableField id="3" name="FK_Sucursal" tableColumnId="3"/>
      <queryTableField id="4" name="Cargo" tableColumnId="4"/>
      <queryTableField id="5" name="Horario" tableColumnId="5"/>
      <queryTableField id="6" name="Salario" tableColumnId="6"/>
    </queryTableFields>
  </queryTableRefresh>
  <extLst>
    <ext xmlns:x15="http://schemas.microsoft.com/office/spreadsheetml/2010/11/main" uri="{883FBD77-0823-4a55-B5E3-86C4891E6966}">
      <x15:queryTable sourceDataName="Rog_Alan_SQLEXPRESS datosgenerales Varias tablas"/>
    </ext>
  </extLst>
</queryTable>
</file>

<file path=xl/queryTables/queryTable2.xml><?xml version="1.0" encoding="utf-8"?>
<queryTable xmlns="http://schemas.openxmlformats.org/spreadsheetml/2006/main" name="datospersonales" backgroundRefresh="0" connectionId="2" autoFormatId="16" applyNumberFormats="0" applyBorderFormats="0" applyFontFormats="0" applyPatternFormats="0" applyAlignmentFormats="0" applyWidthHeightFormats="0">
  <queryTableRefresh nextId="10" unboundColumnsRight="2">
    <queryTableFields count="9">
      <queryTableField id="1" name="ID" tableColumnId="1"/>
      <queryTableField id="2" name="Nombre" tableColumnId="2"/>
      <queryTableField id="3" name="Direccion" tableColumnId="3"/>
      <queryTableField id="4" name="Ciudad" tableColumnId="4"/>
      <queryTableField id="5" name="Num_Telefono" tableColumnId="5"/>
      <queryTableField id="6" name="Email" tableColumnId="6"/>
      <queryTableField id="7" name="Genero" tableColumnId="7"/>
      <queryTableField id="8" dataBound="0" tableColumnId="8"/>
      <queryTableField id="9" dataBound="0" tableColumnId="9"/>
    </queryTableFields>
  </queryTableRefresh>
  <extLst>
    <ext xmlns:x15="http://schemas.microsoft.com/office/spreadsheetml/2010/11/main" uri="{883FBD77-0823-4a55-B5E3-86C4891E6966}">
      <x15:queryTable sourceDataName="Rog_Alan_SQLEXPRESS datosgenerales Varias tablas"/>
    </ext>
  </extLst>
</queryTable>
</file>

<file path=xl/queryTables/queryTable3.xml><?xml version="1.0" encoding="utf-8"?>
<queryTable xmlns="http://schemas.openxmlformats.org/spreadsheetml/2006/main" name="Sucursal" backgroundRefresh="0" connectionId="3" autoFormatId="16" applyNumberFormats="0" applyBorderFormats="0" applyFontFormats="0" applyPatternFormats="0" applyAlignmentFormats="0" applyWidthHeightFormats="0">
  <queryTableRefresh nextId="6">
    <queryTableFields count="5">
      <queryTableField id="1" name="ID" tableColumnId="1"/>
      <queryTableField id="2" name="Nombre_sucursal" tableColumnId="2"/>
      <queryTableField id="3" name="Ciudad" tableColumnId="3"/>
      <queryTableField id="4" name="Direccion" tableColumnId="4"/>
      <queryTableField id="5" name="Cantidad_ventas_anuales" tableColumnId="5"/>
    </queryTableFields>
  </queryTableRefresh>
  <extLst>
    <ext xmlns:x15="http://schemas.microsoft.com/office/spreadsheetml/2010/11/main" uri="{883FBD77-0823-4a55-B5E3-86C4891E6966}">
      <x15:queryTable sourceDataName="Rog_Alan_SQLEXPRESS datosgenerales Varias tabla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1" name="Tabla_datosempleado" displayName="Tabla_datosempleado" ref="A1:F11" tableType="queryTable" totalsRowShown="0">
  <autoFilter ref="A1:F11"/>
  <tableColumns count="6">
    <tableColumn id="1" uniqueName="1" name="Codigo" queryTableFieldId="1"/>
    <tableColumn id="2" uniqueName="2" name="FK_datospersonales" queryTableFieldId="2"/>
    <tableColumn id="3" uniqueName="3" name="FK_Sucursal" queryTableFieldId="3"/>
    <tableColumn id="4" uniqueName="4" name="Cargo" queryTableFieldId="4"/>
    <tableColumn id="5" uniqueName="5" name="Horario" queryTableFieldId="5"/>
    <tableColumn id="6" uniqueName="6" name="Salario" queryTableField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_datospersonales" displayName="Tabla_datospersonales" ref="A1:I11" tableType="queryTable" totalsRowShown="0">
  <autoFilter ref="A1:I11"/>
  <tableColumns count="9">
    <tableColumn id="1" uniqueName="1" name="ID" queryTableFieldId="1"/>
    <tableColumn id="2" uniqueName="2" name="Nombre" queryTableFieldId="2"/>
    <tableColumn id="3" uniqueName="3" name="Direccion" queryTableFieldId="3"/>
    <tableColumn id="4" uniqueName="4" name="Ciudad" queryTableFieldId="4"/>
    <tableColumn id="5" uniqueName="5" name="Num_Telefono" queryTableFieldId="5"/>
    <tableColumn id="6" uniqueName="6" name="Email" queryTableFieldId="6"/>
    <tableColumn id="7" uniqueName="7" name="Genero" queryTableFieldId="7"/>
    <tableColumn id="8" uniqueName="8" name="GeneroOp" queryTableFieldId="8"/>
    <tableColumn id="9" uniqueName="9" name="TotalGen" queryTableFieldId="9" dataDxfId="0">
      <calculatedColumnFormula>COUNTIF(G1:G10, "Femenino")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_Sucursal" displayName="Tabla_Sucursal" ref="A1:E11" tableType="queryTable" totalsRowShown="0">
  <autoFilter ref="A1:E11"/>
  <sortState ref="A2:E11">
    <sortCondition ref="A1:A11"/>
  </sortState>
  <tableColumns count="5">
    <tableColumn id="1" uniqueName="1" name="ID" queryTableFieldId="1"/>
    <tableColumn id="2" uniqueName="2" name="Nombre_sucursal" queryTableFieldId="2"/>
    <tableColumn id="3" uniqueName="3" name="Ciudad" queryTableFieldId="3"/>
    <tableColumn id="4" uniqueName="4" name="Direccion" queryTableFieldId="4"/>
    <tableColumn id="5" uniqueName="5" name="Cantidad_ventas_anuales" queryTableField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B32" sqref="B32"/>
    </sheetView>
  </sheetViews>
  <sheetFormatPr baseColWidth="10" defaultRowHeight="14.4" x14ac:dyDescent="0.3"/>
  <cols>
    <col min="1" max="1" width="9.109375" bestFit="1" customWidth="1"/>
    <col min="2" max="2" width="20" bestFit="1" customWidth="1"/>
    <col min="3" max="3" width="13.21875" bestFit="1" customWidth="1"/>
    <col min="4" max="4" width="18.44140625" bestFit="1" customWidth="1"/>
    <col min="5" max="5" width="15.5546875" bestFit="1" customWidth="1"/>
    <col min="6" max="6" width="8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1</v>
      </c>
      <c r="C2">
        <v>1</v>
      </c>
      <c r="D2" t="s">
        <v>6</v>
      </c>
      <c r="E2" t="s">
        <v>7</v>
      </c>
      <c r="F2">
        <v>45000</v>
      </c>
    </row>
    <row r="3" spans="1:6" x14ac:dyDescent="0.3">
      <c r="A3">
        <v>2</v>
      </c>
      <c r="B3">
        <v>2</v>
      </c>
      <c r="C3">
        <v>2</v>
      </c>
      <c r="D3" t="s">
        <v>8</v>
      </c>
      <c r="E3" t="s">
        <v>7</v>
      </c>
      <c r="F3">
        <v>22000</v>
      </c>
    </row>
    <row r="4" spans="1:6" x14ac:dyDescent="0.3">
      <c r="A4">
        <v>3</v>
      </c>
      <c r="B4">
        <v>3</v>
      </c>
      <c r="C4">
        <v>3</v>
      </c>
      <c r="D4" t="s">
        <v>9</v>
      </c>
      <c r="E4" t="s">
        <v>10</v>
      </c>
      <c r="F4">
        <v>16500</v>
      </c>
    </row>
    <row r="5" spans="1:6" x14ac:dyDescent="0.3">
      <c r="A5">
        <v>4</v>
      </c>
      <c r="B5">
        <v>4</v>
      </c>
      <c r="C5">
        <v>4</v>
      </c>
      <c r="D5" t="s">
        <v>11</v>
      </c>
      <c r="E5" t="s">
        <v>12</v>
      </c>
      <c r="F5">
        <v>18000</v>
      </c>
    </row>
    <row r="6" spans="1:6" x14ac:dyDescent="0.3">
      <c r="A6">
        <v>5</v>
      </c>
      <c r="B6">
        <v>5</v>
      </c>
      <c r="C6">
        <v>5</v>
      </c>
      <c r="D6" t="s">
        <v>13</v>
      </c>
      <c r="E6" t="s">
        <v>7</v>
      </c>
      <c r="F6">
        <v>55000</v>
      </c>
    </row>
    <row r="7" spans="1:6" x14ac:dyDescent="0.3">
      <c r="A7">
        <v>6</v>
      </c>
      <c r="B7">
        <v>6</v>
      </c>
      <c r="C7">
        <v>6</v>
      </c>
      <c r="D7" t="s">
        <v>14</v>
      </c>
      <c r="E7" t="s">
        <v>7</v>
      </c>
      <c r="F7">
        <v>42000</v>
      </c>
    </row>
    <row r="8" spans="1:6" x14ac:dyDescent="0.3">
      <c r="A8">
        <v>7</v>
      </c>
      <c r="B8">
        <v>7</v>
      </c>
      <c r="C8">
        <v>7</v>
      </c>
      <c r="D8" t="s">
        <v>15</v>
      </c>
      <c r="E8" t="s">
        <v>7</v>
      </c>
      <c r="F8">
        <v>14000</v>
      </c>
    </row>
    <row r="9" spans="1:6" x14ac:dyDescent="0.3">
      <c r="A9">
        <v>8</v>
      </c>
      <c r="B9">
        <v>8</v>
      </c>
      <c r="C9">
        <v>8</v>
      </c>
      <c r="D9" t="s">
        <v>16</v>
      </c>
      <c r="E9" t="s">
        <v>7</v>
      </c>
      <c r="F9">
        <v>26000</v>
      </c>
    </row>
    <row r="10" spans="1:6" x14ac:dyDescent="0.3">
      <c r="A10">
        <v>9</v>
      </c>
      <c r="B10">
        <v>9</v>
      </c>
      <c r="C10">
        <v>9</v>
      </c>
      <c r="D10" t="s">
        <v>17</v>
      </c>
      <c r="E10" t="s">
        <v>10</v>
      </c>
      <c r="F10">
        <v>13500</v>
      </c>
    </row>
    <row r="11" spans="1:6" x14ac:dyDescent="0.3">
      <c r="A11">
        <v>10</v>
      </c>
      <c r="B11">
        <v>10</v>
      </c>
      <c r="C11">
        <v>10</v>
      </c>
      <c r="D11" t="s">
        <v>18</v>
      </c>
      <c r="E11" t="s">
        <v>7</v>
      </c>
      <c r="F11">
        <v>15000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I3" sqref="I3"/>
    </sheetView>
  </sheetViews>
  <sheetFormatPr baseColWidth="10" defaultRowHeight="14.4" x14ac:dyDescent="0.3"/>
  <cols>
    <col min="1" max="1" width="5" bestFit="1" customWidth="1"/>
    <col min="2" max="2" width="16.109375" bestFit="1" customWidth="1"/>
    <col min="3" max="3" width="13.5546875" bestFit="1" customWidth="1"/>
    <col min="4" max="4" width="10.77734375" bestFit="1" customWidth="1"/>
    <col min="5" max="5" width="15.77734375" bestFit="1" customWidth="1"/>
    <col min="6" max="6" width="18.88671875" bestFit="1" customWidth="1"/>
    <col min="7" max="7" width="9.33203125" bestFit="1" customWidth="1"/>
  </cols>
  <sheetData>
    <row r="1" spans="1:9" x14ac:dyDescent="0.3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91</v>
      </c>
      <c r="I1" t="s">
        <v>92</v>
      </c>
    </row>
    <row r="2" spans="1:9" x14ac:dyDescent="0.3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31</v>
      </c>
      <c r="I2">
        <f>COUNTIF(G2:G11, "Masculino")</f>
        <v>5</v>
      </c>
    </row>
    <row r="3" spans="1:9" x14ac:dyDescent="0.3">
      <c r="A3">
        <v>2</v>
      </c>
      <c r="B3" t="s">
        <v>32</v>
      </c>
      <c r="C3" t="s">
        <v>33</v>
      </c>
      <c r="D3" t="s">
        <v>28</v>
      </c>
      <c r="E3" t="s">
        <v>34</v>
      </c>
      <c r="F3" t="s">
        <v>35</v>
      </c>
      <c r="G3" t="s">
        <v>36</v>
      </c>
      <c r="H3" t="s">
        <v>36</v>
      </c>
      <c r="I3">
        <f>COUNTIF(G2:G11, "Femenino")</f>
        <v>5</v>
      </c>
    </row>
    <row r="4" spans="1:9" x14ac:dyDescent="0.3">
      <c r="A4">
        <v>3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31</v>
      </c>
    </row>
    <row r="5" spans="1:9" x14ac:dyDescent="0.3">
      <c r="A5">
        <v>4</v>
      </c>
      <c r="B5" t="s">
        <v>42</v>
      </c>
      <c r="C5" t="s">
        <v>43</v>
      </c>
      <c r="D5" t="s">
        <v>44</v>
      </c>
      <c r="E5" t="s">
        <v>45</v>
      </c>
      <c r="F5" t="s">
        <v>46</v>
      </c>
      <c r="G5" t="s">
        <v>36</v>
      </c>
    </row>
    <row r="6" spans="1:9" x14ac:dyDescent="0.3">
      <c r="A6">
        <v>5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 t="s">
        <v>31</v>
      </c>
    </row>
    <row r="7" spans="1:9" x14ac:dyDescent="0.3">
      <c r="A7">
        <v>6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t="s">
        <v>36</v>
      </c>
    </row>
    <row r="8" spans="1:9" x14ac:dyDescent="0.3">
      <c r="A8">
        <v>7</v>
      </c>
      <c r="B8" t="s">
        <v>57</v>
      </c>
      <c r="C8" t="s">
        <v>58</v>
      </c>
      <c r="D8" t="s">
        <v>59</v>
      </c>
      <c r="E8" t="s">
        <v>60</v>
      </c>
      <c r="F8" t="s">
        <v>61</v>
      </c>
      <c r="G8" t="s">
        <v>36</v>
      </c>
    </row>
    <row r="9" spans="1:9" x14ac:dyDescent="0.3">
      <c r="A9">
        <v>8</v>
      </c>
      <c r="B9" t="s">
        <v>62</v>
      </c>
      <c r="C9" t="s">
        <v>63</v>
      </c>
      <c r="D9" t="s">
        <v>64</v>
      </c>
      <c r="E9" t="s">
        <v>65</v>
      </c>
      <c r="F9" t="s">
        <v>66</v>
      </c>
      <c r="G9" t="s">
        <v>31</v>
      </c>
    </row>
    <row r="10" spans="1:9" x14ac:dyDescent="0.3">
      <c r="A10">
        <v>9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36</v>
      </c>
    </row>
    <row r="11" spans="1:9" x14ac:dyDescent="0.3">
      <c r="A11">
        <v>10</v>
      </c>
      <c r="B11" t="s">
        <v>72</v>
      </c>
      <c r="C11" t="s">
        <v>73</v>
      </c>
      <c r="D11" t="s">
        <v>74</v>
      </c>
      <c r="E11" t="s">
        <v>75</v>
      </c>
      <c r="F11" t="s">
        <v>76</v>
      </c>
      <c r="G11" t="s">
        <v>31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G14" sqref="G14"/>
    </sheetView>
  </sheetViews>
  <sheetFormatPr baseColWidth="10" defaultRowHeight="14.4" x14ac:dyDescent="0.3"/>
  <cols>
    <col min="1" max="1" width="5" bestFit="1" customWidth="1"/>
    <col min="2" max="2" width="17.88671875" bestFit="1" customWidth="1"/>
    <col min="3" max="3" width="10.77734375" bestFit="1" customWidth="1"/>
    <col min="4" max="4" width="19.44140625" bestFit="1" customWidth="1"/>
    <col min="5" max="5" width="25" bestFit="1" customWidth="1"/>
  </cols>
  <sheetData>
    <row r="1" spans="1:5" x14ac:dyDescent="0.3">
      <c r="A1" t="s">
        <v>19</v>
      </c>
      <c r="B1" t="s">
        <v>77</v>
      </c>
      <c r="C1" t="s">
        <v>22</v>
      </c>
      <c r="D1" t="s">
        <v>21</v>
      </c>
      <c r="E1" t="s">
        <v>78</v>
      </c>
    </row>
    <row r="2" spans="1:5" x14ac:dyDescent="0.3">
      <c r="A2">
        <v>1</v>
      </c>
      <c r="B2" t="s">
        <v>79</v>
      </c>
      <c r="C2" t="s">
        <v>28</v>
      </c>
      <c r="D2" t="s">
        <v>80</v>
      </c>
      <c r="E2">
        <v>1250000</v>
      </c>
    </row>
    <row r="3" spans="1:5" x14ac:dyDescent="0.3">
      <c r="A3">
        <v>2</v>
      </c>
      <c r="B3" t="s">
        <v>81</v>
      </c>
      <c r="C3" t="s">
        <v>28</v>
      </c>
      <c r="D3" t="s">
        <v>82</v>
      </c>
      <c r="E3">
        <v>980000</v>
      </c>
    </row>
    <row r="4" spans="1:5" x14ac:dyDescent="0.3">
      <c r="A4">
        <v>3</v>
      </c>
      <c r="B4" t="s">
        <v>39</v>
      </c>
      <c r="C4" t="s">
        <v>39</v>
      </c>
      <c r="D4" t="s">
        <v>83</v>
      </c>
      <c r="E4">
        <v>1450000</v>
      </c>
    </row>
    <row r="5" spans="1:5" x14ac:dyDescent="0.3">
      <c r="A5">
        <v>4</v>
      </c>
      <c r="B5" t="s">
        <v>44</v>
      </c>
      <c r="C5" t="s">
        <v>44</v>
      </c>
      <c r="D5" t="s">
        <v>84</v>
      </c>
      <c r="E5">
        <v>870000</v>
      </c>
    </row>
    <row r="6" spans="1:5" x14ac:dyDescent="0.3">
      <c r="A6">
        <v>5</v>
      </c>
      <c r="B6" t="s">
        <v>49</v>
      </c>
      <c r="C6" t="s">
        <v>49</v>
      </c>
      <c r="D6" t="s">
        <v>85</v>
      </c>
      <c r="E6">
        <v>1600000</v>
      </c>
    </row>
    <row r="7" spans="1:5" x14ac:dyDescent="0.3">
      <c r="A7">
        <v>6</v>
      </c>
      <c r="B7" t="s">
        <v>54</v>
      </c>
      <c r="C7" t="s">
        <v>54</v>
      </c>
      <c r="D7" t="s">
        <v>86</v>
      </c>
      <c r="E7">
        <v>1900000</v>
      </c>
    </row>
    <row r="8" spans="1:5" x14ac:dyDescent="0.3">
      <c r="A8">
        <v>7</v>
      </c>
      <c r="B8" t="s">
        <v>59</v>
      </c>
      <c r="C8" t="s">
        <v>59</v>
      </c>
      <c r="D8" t="s">
        <v>87</v>
      </c>
      <c r="E8">
        <v>650000</v>
      </c>
    </row>
    <row r="9" spans="1:5" x14ac:dyDescent="0.3">
      <c r="A9">
        <v>8</v>
      </c>
      <c r="B9" t="s">
        <v>64</v>
      </c>
      <c r="C9" t="s">
        <v>64</v>
      </c>
      <c r="D9" t="s">
        <v>88</v>
      </c>
      <c r="E9">
        <v>1100000</v>
      </c>
    </row>
    <row r="10" spans="1:5" x14ac:dyDescent="0.3">
      <c r="A10">
        <v>9</v>
      </c>
      <c r="B10" t="s">
        <v>69</v>
      </c>
      <c r="C10" t="s">
        <v>69</v>
      </c>
      <c r="D10" t="s">
        <v>89</v>
      </c>
      <c r="E10">
        <v>540000</v>
      </c>
    </row>
    <row r="11" spans="1:5" x14ac:dyDescent="0.3">
      <c r="A11">
        <v>10</v>
      </c>
      <c r="B11" t="s">
        <v>74</v>
      </c>
      <c r="C11" t="s">
        <v>74</v>
      </c>
      <c r="D11" t="s">
        <v>90</v>
      </c>
      <c r="E11">
        <v>780000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empleados</vt:lpstr>
      <vt:lpstr>datos personales</vt:lpstr>
      <vt:lpstr>sucursales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Nieto</dc:creator>
  <cp:lastModifiedBy>Alan Nieto</cp:lastModifiedBy>
  <dcterms:created xsi:type="dcterms:W3CDTF">2026-10-18T15:45:50Z</dcterms:created>
  <dcterms:modified xsi:type="dcterms:W3CDTF">2026-10-18T16:15:24Z</dcterms:modified>
</cp:coreProperties>
</file>